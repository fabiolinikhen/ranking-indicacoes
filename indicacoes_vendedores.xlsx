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ÇÕES" sheetId="1" state="visible" r:id="rId3"/>
    <sheet name="DASHBOARD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<sst xmlns="http://schemas.openxmlformats.org/spreadsheetml/2006/main" count="24" uniqueCount="24">
  <si>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🏆  PAINEL DE INDICAÇÕES — EQUIPE COMERCIAL</t>
  </si>
  <si>
    <t xml:space="preserve">Atualize a coluna 'Total de Indicações' com o número acumulado do vendedor</t>
  </si>
  <si>
    <t xml:space="preserve">#</t>
  </si>
  <si>
    <t xml:space="preserve">VENDEDOR</t>
  </si>
  <si>
    <t xml:space="preserve">TOTAL DE INDICAÇÕES</t>
  </si>
  <si>
    <t xml:space="preserve">ÚLTIMA ATUALIZAÇÃO</t>
  </si>
  <si>
    <t xml:space="preserve">META MENSAL</t>
  </si>
  <si>
    <t xml:space="preserve">% DA META</t>
  </si>
  <si>
    <t xml:space="preserve">Ana Carolina Silva</t>
  </si>
  <si>
    <t xml:space="preserve">Bruno Ferreira</t>
  </si>
  <si>
    <t xml:space="preserve">Camila Rodrigues</t>
  </si>
  <si>
    <t xml:space="preserve">Daniel Oliveira</t>
  </si>
  <si>
    <t xml:space="preserve">Eduardo Santos</t>
  </si>
  <si>
    <t xml:space="preserve">Fernanda Lima</t>
  </si>
  <si>
    <t xml:space="preserve">Gabriel Costa</t>
  </si>
  <si>
    <t xml:space="preserve">Helena Martins</t>
  </si>
  <si>
    <t xml:space="preserve">Igor Pereira</t>
  </si>
  <si>
    <t xml:space="preserve">Juliana Alves</t>
  </si>
  <si>
    <t xml:space="preserve">TOTAL GERAL</t>
  </si>
  <si>
    <t xml:space="preserve">vendedor</t>
  </si>
  <si>
    <t xml:space="preserve">indicacoes</t>
  </si>
  <si>
    <t xml:space="preserve">meta</t>
  </si>
  <si>
    <t xml:space="preserve">pct_meta</t>
  </si>
  <si>
    <t xml:space="preserve">ℹ️ Esta aba espelha os dados para exportação ao dashboard HTML.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</si>
</sst>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0.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AAAAA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888888"/>
      <name val="Calibri"/>
      <family val="0"/>
      <charset val="1"/>
    </font>
    <font>
      <sz val="12"/>
      <color rgb="FF1A1A2E"/>
      <name val="Calibri"/>
      <family val="0"/>
      <charset val="1"/>
    </font>
    <font>
      <b val="true"/>
      <sz val="14"/>
      <color rgb="FFE94560"/>
      <name val="Calibri"/>
      <family val="0"/>
      <charset val="1"/>
    </font>
    <font>
      <sz val="10"/>
      <color rgb="FF888888"/>
      <name val="Calibri"/>
      <family val="0"/>
      <charset val="1"/>
    </font>
    <font>
      <sz val="12"/>
      <color rgb="FF444444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4"/>
      <color rgb="FFFFD700"/>
      <name val="Calibri"/>
      <family val="0"/>
      <charset val="1"/>
    </font>
    <font>
      <i val="true"/>
      <sz val="10"/>
      <color rgb="FF888888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11122"/>
      </patternFill>
    </fill>
    <fill>
      <patternFill patternType="solid">
        <fgColor rgb="FF111122"/>
        <bgColor rgb="FF1A1A2E"/>
      </patternFill>
    </fill>
    <fill>
      <patternFill patternType="solid">
        <fgColor rgb="FF0F3460"/>
        <bgColor rgb="FF1A1A2E"/>
      </patternFill>
    </fill>
    <fill>
      <patternFill patternType="solid">
        <fgColor rgb="FFF0F4FF"/>
        <bgColor rgb="FFFFFFFF"/>
      </patternFill>
    </fill>
    <fill>
      <patternFill patternType="solid">
        <fgColor rgb="FFFFFFFF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0F4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94560"/>
      <rgbColor rgb="FF666699"/>
      <rgbColor rgb="FFAAAAAA"/>
      <rgbColor rgb="FF0F3460"/>
      <rgbColor rgb="FF339966"/>
      <rgbColor rgb="FF111122"/>
      <rgbColor rgb="FF1A1A2E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7.75" hidden="false" customHeight="true" outlineLevel="0" collapsed="false">
      <c r="A5" s="4" t="n">
        <v>1</v>
      </c>
      <c r="B5" s="5" t="s">
        <v>8</v>
      </c>
      <c r="C5" s="6" t="n">
        <v>0</v>
      </c>
      <c r="D5" s="7"/>
      <c r="E5" s="8" t="n">
        <v>30</v>
      </c>
      <c r="F5" s="9" t="n">
        <f aca="false">IFERROR(C5/E5,0)</f>
        <v>0</v>
      </c>
    </row>
    <row r="6" customFormat="false" ht="27.75" hidden="false" customHeight="true" outlineLevel="0" collapsed="false">
      <c r="A6" s="10" t="n">
        <v>2</v>
      </c>
      <c r="B6" s="11" t="s">
        <v>9</v>
      </c>
      <c r="C6" s="12" t="n">
        <v>0</v>
      </c>
      <c r="D6" s="13"/>
      <c r="E6" s="14" t="n">
        <v>30</v>
      </c>
      <c r="F6" s="15" t="n">
        <f aca="false">IFERROR(C6/E6,0)</f>
        <v>0</v>
      </c>
    </row>
    <row r="7" customFormat="false" ht="27.75" hidden="false" customHeight="true" outlineLevel="0" collapsed="false">
      <c r="A7" s="4" t="n">
        <v>3</v>
      </c>
      <c r="B7" s="5" t="s">
        <v>10</v>
      </c>
      <c r="C7" s="6" t="n">
        <v>0</v>
      </c>
      <c r="D7" s="7"/>
      <c r="E7" s="8" t="n">
        <v>30</v>
      </c>
      <c r="F7" s="9" t="n">
        <f aca="false">IFERROR(C7/E7,0)</f>
        <v>0</v>
      </c>
    </row>
    <row r="8" customFormat="false" ht="27.75" hidden="false" customHeight="true" outlineLevel="0" collapsed="false">
      <c r="A8" s="10" t="n">
        <v>4</v>
      </c>
      <c r="B8" s="11" t="s">
        <v>11</v>
      </c>
      <c r="C8" s="12" t="n">
        <v>0</v>
      </c>
      <c r="D8" s="13"/>
      <c r="E8" s="14" t="n">
        <v>30</v>
      </c>
      <c r="F8" s="15" t="n">
        <f aca="false">IFERROR(C8/E8,0)</f>
        <v>0</v>
      </c>
    </row>
    <row r="9" customFormat="false" ht="27.75" hidden="false" customHeight="true" outlineLevel="0" collapsed="false">
      <c r="A9" s="4" t="n">
        <v>5</v>
      </c>
      <c r="B9" s="5" t="s">
        <v>12</v>
      </c>
      <c r="C9" s="6" t="n">
        <v>0</v>
      </c>
      <c r="D9" s="7"/>
      <c r="E9" s="8" t="n">
        <v>30</v>
      </c>
      <c r="F9" s="9" t="n">
        <f aca="false">IFERROR(C9/E9,0)</f>
        <v>0</v>
      </c>
    </row>
    <row r="10" customFormat="false" ht="27.75" hidden="false" customHeight="true" outlineLevel="0" collapsed="false">
      <c r="A10" s="10" t="n">
        <v>6</v>
      </c>
      <c r="B10" s="11" t="s">
        <v>13</v>
      </c>
      <c r="C10" s="12" t="n">
        <v>0</v>
      </c>
      <c r="D10" s="13"/>
      <c r="E10" s="14" t="n">
        <v>30</v>
      </c>
      <c r="F10" s="15" t="n">
        <f aca="false">IFERROR(C10/E10,0)</f>
        <v>0</v>
      </c>
    </row>
    <row r="11" customFormat="false" ht="27.75" hidden="false" customHeight="true" outlineLevel="0" collapsed="false">
      <c r="A11" s="4" t="n">
        <v>7</v>
      </c>
      <c r="B11" s="5" t="s">
        <v>14</v>
      </c>
      <c r="C11" s="6" t="n">
        <v>0</v>
      </c>
      <c r="D11" s="7"/>
      <c r="E11" s="8" t="n">
        <v>30</v>
      </c>
      <c r="F11" s="9" t="n">
        <f aca="false">IFERROR(C11/E11,0)</f>
        <v>0</v>
      </c>
    </row>
    <row r="12" customFormat="false" ht="27.75" hidden="false" customHeight="true" outlineLevel="0" collapsed="false">
      <c r="A12" s="10" t="n">
        <v>8</v>
      </c>
      <c r="B12" s="11" t="s">
        <v>15</v>
      </c>
      <c r="C12" s="12" t="n">
        <v>0</v>
      </c>
      <c r="D12" s="13"/>
      <c r="E12" s="14" t="n">
        <v>30</v>
      </c>
      <c r="F12" s="15" t="n">
        <f aca="false">IFERROR(C12/E12,0)</f>
        <v>0</v>
      </c>
    </row>
    <row r="13" customFormat="false" ht="27.75" hidden="false" customHeight="true" outlineLevel="0" collapsed="false">
      <c r="A13" s="4" t="n">
        <v>9</v>
      </c>
      <c r="B13" s="5" t="s">
        <v>16</v>
      </c>
      <c r="C13" s="6" t="n">
        <v>0</v>
      </c>
      <c r="D13" s="7"/>
      <c r="E13" s="8" t="n">
        <v>30</v>
      </c>
      <c r="F13" s="9" t="n">
        <f aca="false">IFERROR(C13/E13,0)</f>
        <v>0</v>
      </c>
    </row>
    <row r="14" customFormat="false" ht="27.75" hidden="false" customHeight="true" outlineLevel="0" collapsed="false">
      <c r="A14" s="10" t="n">
        <v>10</v>
      </c>
      <c r="B14" s="11" t="s">
        <v>17</v>
      </c>
      <c r="C14" s="12" t="n">
        <v>0</v>
      </c>
      <c r="D14" s="13"/>
      <c r="E14" s="14" t="n">
        <v>30</v>
      </c>
      <c r="F14" s="15" t="n">
        <f aca="false">IFERROR(C14/E14,0)</f>
        <v>0</v>
      </c>
    </row>
    <row r="15" customFormat="false" ht="31.5" hidden="false" customHeight="true" outlineLevel="0" collapsed="false">
      <c r="A15" s="16" t="s">
        <v>18</v>
      </c>
      <c r="B15" s="16"/>
      <c r="C15" s="17" t="n">
        <f aca="false">SUM(C5:C14)</f>
        <v>0</v>
      </c>
      <c r="D15" s="18"/>
      <c r="E15" s="18"/>
      <c r="F15" s="18"/>
    </row>
  </sheetData>
  <mergeCells count="3">
    <mergeCell ref="A1:F1"/>
    <mergeCell ref="A2:F2"/>
    <mergeCell ref="A15:B15"/>
  </mergeCells>
  <conditionalFormatting sqref="C5:C14">
    <cfRule type="dataBar" priority="2">
      <dataBar showValue="1" minLength="10" maxLength="90">
        <cfvo type="num" val="0"/>
        <cfvo type="num" val="100"/>
        <color rgb="FFE94560"/>
      </dataBar>
      <extLst>
        <ext xmlns:x14="http://schemas.microsoft.com/office/spreadsheetml/2009/9/main" uri="{B025F937-C7B1-47D3-B67F-A62EFF666E3E}">
          <x14:id>{AB4028CC-11FC-4D2F-A8ED-90603A6D8A59}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4028CC-11FC-4D2F-A8ED-90603A6D8A59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E94560"/>
              <x14:axisColor rgb="FF000000"/>
            </x14:dataBar>
          </x14:cfRule>
          <xm:sqref>C5:C14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20</v>
      </c>
      <c r="C1" s="0" t="s">
        <v>21</v>
      </c>
      <c r="D1" s="0" t="s">
        <v>22</v>
      </c>
      <c r="F1" s="19" t="s">
        <v>23</v>
      </c>
    </row>
    <row r="2" customFormat="false" ht="15" hidden="false" customHeight="false" outlineLevel="0" collapsed="false">
      <c r="A2" s="0" t="str">
        <f aca="false">INDICAÇÕES!B5</f>
        <v>Ana Carolina Silva</v>
      </c>
      <c r="B2" s="0" t="n">
        <f aca="false">INDICAÇÕES!C5</f>
        <v>0</v>
      </c>
      <c r="C2" s="0" t="n">
        <f aca="false">INDICAÇÕES!E5</f>
        <v>30</v>
      </c>
      <c r="D2" s="20" t="n">
        <f aca="false">INDICAÇÕES!F5</f>
        <v>0</v>
      </c>
    </row>
    <row r="3" customFormat="false" ht="15" hidden="false" customHeight="false" outlineLevel="0" collapsed="false">
      <c r="A3" s="0" t="str">
        <f aca="false">INDICAÇÕES!B6</f>
        <v>Bruno Ferreira</v>
      </c>
      <c r="B3" s="0" t="n">
        <f aca="false">INDICAÇÕES!C6</f>
        <v>0</v>
      </c>
      <c r="C3" s="0" t="n">
        <f aca="false">INDICAÇÕES!E6</f>
        <v>30</v>
      </c>
      <c r="D3" s="20" t="n">
        <f aca="false">INDICAÇÕES!F6</f>
        <v>0</v>
      </c>
    </row>
    <row r="4" customFormat="false" ht="15" hidden="false" customHeight="false" outlineLevel="0" collapsed="false">
      <c r="A4" s="0" t="str">
        <f aca="false">INDICAÇÕES!B7</f>
        <v>Camila Rodrigues</v>
      </c>
      <c r="B4" s="0" t="n">
        <f aca="false">INDICAÇÕES!C7</f>
        <v>0</v>
      </c>
      <c r="C4" s="0" t="n">
        <f aca="false">INDICAÇÕES!E7</f>
        <v>30</v>
      </c>
      <c r="D4" s="20" t="n">
        <f aca="false">INDICAÇÕES!F7</f>
        <v>0</v>
      </c>
    </row>
    <row r="5" customFormat="false" ht="15" hidden="false" customHeight="false" outlineLevel="0" collapsed="false">
      <c r="A5" s="0" t="str">
        <f aca="false">INDICAÇÕES!B8</f>
        <v>Daniel Oliveira</v>
      </c>
      <c r="B5" s="0" t="n">
        <f aca="false">INDICAÇÕES!C8</f>
        <v>0</v>
      </c>
      <c r="C5" s="0" t="n">
        <f aca="false">INDICAÇÕES!E8</f>
        <v>30</v>
      </c>
      <c r="D5" s="20" t="n">
        <f aca="false">INDICAÇÕES!F8</f>
        <v>0</v>
      </c>
    </row>
    <row r="6" customFormat="false" ht="15" hidden="false" customHeight="false" outlineLevel="0" collapsed="false">
      <c r="A6" s="0" t="str">
        <f aca="false">INDICAÇÕES!B9</f>
        <v>Eduardo Santos</v>
      </c>
      <c r="B6" s="0" t="n">
        <f aca="false">INDICAÇÕES!C9</f>
        <v>0</v>
      </c>
      <c r="C6" s="0" t="n">
        <f aca="false">INDICAÇÕES!E9</f>
        <v>30</v>
      </c>
      <c r="D6" s="20" t="n">
        <f aca="false">INDICAÇÕES!F9</f>
        <v>0</v>
      </c>
    </row>
    <row r="7" customFormat="false" ht="15" hidden="false" customHeight="false" outlineLevel="0" collapsed="false">
      <c r="A7" s="0" t="str">
        <f aca="false">INDICAÇÕES!B10</f>
        <v>Fernanda Lima</v>
      </c>
      <c r="B7" s="0" t="n">
        <f aca="false">INDICAÇÕES!C10</f>
        <v>0</v>
      </c>
      <c r="C7" s="0" t="n">
        <f aca="false">INDICAÇÕES!E10</f>
        <v>30</v>
      </c>
      <c r="D7" s="20" t="n">
        <f aca="false">INDICAÇÕES!F10</f>
        <v>0</v>
      </c>
    </row>
    <row r="8" customFormat="false" ht="15" hidden="false" customHeight="false" outlineLevel="0" collapsed="false">
      <c r="A8" s="0" t="str">
        <f aca="false">INDICAÇÕES!B11</f>
        <v>Gabriel Costa</v>
      </c>
      <c r="B8" s="0" t="n">
        <f aca="false">INDICAÇÕES!C11</f>
        <v>0</v>
      </c>
      <c r="C8" s="0" t="n">
        <f aca="false">INDICAÇÕES!E11</f>
        <v>30</v>
      </c>
      <c r="D8" s="20" t="n">
        <f aca="false">INDICAÇÕES!F11</f>
        <v>0</v>
      </c>
    </row>
    <row r="9" customFormat="false" ht="15" hidden="false" customHeight="false" outlineLevel="0" collapsed="false">
      <c r="A9" s="0" t="str">
        <f aca="false">INDICAÇÕES!B12</f>
        <v>Helena Martins</v>
      </c>
      <c r="B9" s="0" t="n">
        <f aca="false">INDICAÇÕES!C12</f>
        <v>0</v>
      </c>
      <c r="C9" s="0" t="n">
        <f aca="false">INDICAÇÕES!E12</f>
        <v>30</v>
      </c>
      <c r="D9" s="20" t="n">
        <f aca="false">INDICAÇÕES!F12</f>
        <v>0</v>
      </c>
    </row>
    <row r="10" customFormat="false" ht="15" hidden="false" customHeight="false" outlineLevel="0" collapsed="false">
      <c r="A10" s="0" t="str">
        <f aca="false">INDICAÇÕES!B13</f>
        <v>Igor Pereira</v>
      </c>
      <c r="B10" s="0" t="n">
        <f aca="false">INDICAÇÕES!C13</f>
        <v>0</v>
      </c>
      <c r="C10" s="0" t="n">
        <f aca="false">INDICAÇÕES!E13</f>
        <v>30</v>
      </c>
      <c r="D10" s="20" t="n">
        <f aca="false">INDICAÇÕES!F13</f>
        <v>0</v>
      </c>
    </row>
    <row r="11" customFormat="false" ht="15" hidden="false" customHeight="false" outlineLevel="0" collapsed="false">
      <c r="A11" s="0" t="str">
        <f aca="false">INDICAÇÕES!B14</f>
        <v>Juliana Alves</v>
      </c>
      <c r="B11" s="0" t="n">
        <f aca="false">INDICAÇÕES!C14</f>
        <v>0</v>
      </c>
      <c r="C11" s="0" t="n">
        <f aca="false">INDICAÇÕES!E14</f>
        <v>30</v>
      </c>
      <c r="D11" s="20" t="n">
        <f aca="false">INDICAÇÕES!F14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2026-04-29T15:58:30Z</dcterms:created>
  <dc:creator>openpyxl</dc:creator>
  <dc:description/>
  <dc:language>en-US</dc:language>
  <cp:lastModifiedBy/>
  <dcterms:modified xsi:type="dcterms:W3CDTF">2026-04-29T15:58:30Z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